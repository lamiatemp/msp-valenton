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amia\Documents\Website\mywebsite\public\"/>
    </mc:Choice>
  </mc:AlternateContent>
  <bookViews>
    <workbookView xWindow="0" yWindow="0" windowWidth="18000" windowHeight="9240" activeTab="2"/>
  </bookViews>
  <sheets>
    <sheet name="pdf" sheetId="1" r:id="rId1"/>
    <sheet name="team" sheetId="2" r:id="rId2"/>
    <sheet name="about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2" l="1"/>
  <c r="E6" i="2"/>
  <c r="E7" i="2"/>
  <c r="E8" i="2"/>
  <c r="E9" i="2"/>
  <c r="E10" i="2"/>
  <c r="E11" i="2"/>
  <c r="E12" i="2"/>
  <c r="E13" i="2"/>
  <c r="E14" i="2"/>
  <c r="C5" i="2"/>
  <c r="C6" i="2"/>
  <c r="C7" i="2"/>
  <c r="C8" i="2"/>
  <c r="C9" i="2"/>
  <c r="C10" i="2"/>
  <c r="C11" i="2"/>
  <c r="C12" i="2"/>
  <c r="C13" i="2"/>
  <c r="C14" i="2"/>
  <c r="C3" i="2"/>
  <c r="C4" i="2"/>
  <c r="C2" i="2"/>
  <c r="E3" i="2"/>
  <c r="E4" i="2"/>
  <c r="E2" i="2"/>
</calcChain>
</file>

<file path=xl/sharedStrings.xml><?xml version="1.0" encoding="utf-8"?>
<sst xmlns="http://schemas.openxmlformats.org/spreadsheetml/2006/main" count="85" uniqueCount="65">
  <si>
    <t>Doc</t>
  </si>
  <si>
    <t>Title</t>
  </si>
  <si>
    <t>Date</t>
  </si>
  <si>
    <t>Renouvellement des instances du CMG</t>
  </si>
  <si>
    <t>Mémento vaccination</t>
  </si>
  <si>
    <t>Kinésithérapie</t>
  </si>
  <si>
    <t>9 janvier 2026</t>
  </si>
  <si>
    <t>10 janvier 2026</t>
  </si>
  <si>
    <t>11 janvier 2026</t>
  </si>
  <si>
    <t>12 janvier 2026</t>
  </si>
  <si>
    <t>Actu1.pdf</t>
  </si>
  <si>
    <t>Overview</t>
  </si>
  <si>
    <t>Actualités.png</t>
  </si>
  <si>
    <t>Actu2.png</t>
  </si>
  <si>
    <t>ID_1</t>
  </si>
  <si>
    <t>Title_1</t>
  </si>
  <si>
    <t>Description_1</t>
  </si>
  <si>
    <t>ID_2</t>
  </si>
  <si>
    <t>Title_2</t>
  </si>
  <si>
    <t>Icon_1</t>
  </si>
  <si>
    <t>Description_2</t>
  </si>
  <si>
    <t>Icon_2</t>
  </si>
  <si>
    <t>Diététiciens</t>
  </si>
  <si>
    <t>Infirmiers</t>
  </si>
  <si>
    <t>/images/dieteticien.png</t>
  </si>
  <si>
    <t>/images/infirmier.png</t>
  </si>
  <si>
    <t>Derya AYDIN</t>
  </si>
  <si>
    <t>Karima AIDI</t>
  </si>
  <si>
    <t>Charlotte OUAZZA BERLAND</t>
  </si>
  <si>
    <t>Infirmiers de pratique avancée (IPA)</t>
  </si>
  <si>
    <t>Médecins généralistes</t>
  </si>
  <si>
    <t>Orthophonistes</t>
  </si>
  <si>
    <t>Sages-femme</t>
  </si>
  <si>
    <t>/images/infirmiere.png</t>
  </si>
  <si>
    <t>/images/kine.png</t>
  </si>
  <si>
    <t>/images/mg.png</t>
  </si>
  <si>
    <t>/images/orthophonie.png</t>
  </si>
  <si>
    <t>/images/sf.png</t>
  </si>
  <si>
    <t>Stephen BEGUE</t>
  </si>
  <si>
    <t>Dr 1</t>
  </si>
  <si>
    <t>Dr 2</t>
  </si>
  <si>
    <t>Dr 3</t>
  </si>
  <si>
    <t>Dr 4</t>
  </si>
  <si>
    <t>Dr 5</t>
  </si>
  <si>
    <t>Dr 6</t>
  </si>
  <si>
    <t>Link</t>
  </si>
  <si>
    <t>https://www.doctolib.fr/dieteticien/valenton/derya-aydin?pid=practice-494378</t>
  </si>
  <si>
    <t>Masseurs kinésithérapeutes</t>
  </si>
  <si>
    <t>/images/teampictures/DAydin.webp</t>
  </si>
  <si>
    <t>Actu2.pdf</t>
  </si>
  <si>
    <t>Actu3.pdf</t>
  </si>
  <si>
    <t>Actu4.pdf</t>
  </si>
  <si>
    <t>Actu5.pdf</t>
  </si>
  <si>
    <t>Actu6.pdf</t>
  </si>
  <si>
    <t>Test</t>
  </si>
  <si>
    <t>temporaire</t>
  </si>
  <si>
    <t>13 janvier 2026</t>
  </si>
  <si>
    <t>14 janvier 2026</t>
  </si>
  <si>
    <t>Médecine générale : des signaux d'alerte majeurs</t>
  </si>
  <si>
    <t>Lundi : 14h00 - 19h00
Mardi : 09h00 - 13h00
Mercredi : 13h00 - 18h00
Jeudi : 13h00 - 19h00
Vendredi : 08h30 - 13h00</t>
  </si>
  <si>
    <t>Description</t>
  </si>
  <si>
    <t>Info</t>
  </si>
  <si>
    <t>Qui sommes nous ?</t>
  </si>
  <si>
    <t>La Maison de Santé Pluriprofessionnelle est une structure de soins regroupant des professionnels médicaux et paramédicaux.
Elle regroupe soins, enseignement et recherche autour d'un même projet de santé.</t>
  </si>
  <si>
    <t>L’organisation en maison de santé nous permet de vous assurer un accueil par du personnel dédié du lundi au vendredi, de 9h à 19h.
Cet accueil organisé permet, au-delà de la prise de rendez-vous auprès des professionnels intervenant dans la structure, de :
• Coordonner les informations vous concernant entre les différents professionnels de la structure amenés à assurer votre suivi médical ;
• Vous orienter vers les professionnels de santé ou services internes ou extérieurs à la structure dont vous avez besoin ;
• Organiser les échanges nécessaires avec les établissements de santé ou établissements et services médico-sociaux lorsque votre état de santé le nécessite et notamment avant et après toute hospitalisation.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</si>
</sst>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14" fontId="0" fillId="0" borderId="0" xfId="0" quotePrefix="1" applyNumberFormat="1" applyAlignment="1">
      <alignment wrapText="1"/>
    </xf>
    <xf numFmtId="49" fontId="0" fillId="0" borderId="0" xfId="0" applyNumberFormat="1"/>
    <xf numFmtId="0" fontId="0" fillId="0" borderId="0" xfId="0" applyNumberFormat="1"/>
    <xf numFmtId="49" fontId="0" fillId="0" borderId="0" xfId="0" applyNumberFormat="1" applyAlignment="1">
      <alignment wrapText="1"/>
    </xf>
    <xf numFmtId="49" fontId="1" fillId="0" borderId="0" xfId="1" applyNumberFormat="1"/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doctolib.fr/dieteticien/valenton/derya-aydin?pid=practice-49437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>
      <selection activeCell="B2" sqref="B2"/>
    </sheetView>
  </sheetViews>
  <sheetFormatPr baseColWidth="10" defaultRowHeight="14.5" x14ac:dyDescent="0.35"/>
  <cols>
    <col min="1" max="1" width="19.08984375" style="1" customWidth="1"/>
    <col min="2" max="2" width="52.54296875" style="1" customWidth="1"/>
    <col min="3" max="3" width="20.6328125" style="1" customWidth="1"/>
    <col min="4" max="5" width="10.90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11</v>
      </c>
    </row>
    <row r="2" spans="1:4" x14ac:dyDescent="0.35">
      <c r="A2" s="1" t="s">
        <v>10</v>
      </c>
      <c r="B2" s="1" t="s">
        <v>58</v>
      </c>
      <c r="C2" s="2" t="s">
        <v>6</v>
      </c>
      <c r="D2" t="s">
        <v>12</v>
      </c>
    </row>
    <row r="3" spans="1:4" x14ac:dyDescent="0.35">
      <c r="A3" s="1" t="s">
        <v>49</v>
      </c>
      <c r="B3" s="1" t="s">
        <v>3</v>
      </c>
      <c r="C3" s="2" t="s">
        <v>7</v>
      </c>
      <c r="D3" s="1" t="s">
        <v>13</v>
      </c>
    </row>
    <row r="4" spans="1:4" x14ac:dyDescent="0.35">
      <c r="A4" s="1" t="s">
        <v>50</v>
      </c>
      <c r="B4" s="1" t="s">
        <v>4</v>
      </c>
      <c r="C4" s="2" t="s">
        <v>8</v>
      </c>
      <c r="D4" t="s">
        <v>12</v>
      </c>
    </row>
    <row r="5" spans="1:4" x14ac:dyDescent="0.35">
      <c r="A5" s="1" t="s">
        <v>51</v>
      </c>
      <c r="B5" s="1" t="s">
        <v>5</v>
      </c>
      <c r="C5" s="2" t="s">
        <v>9</v>
      </c>
      <c r="D5" t="s">
        <v>12</v>
      </c>
    </row>
    <row r="6" spans="1:4" x14ac:dyDescent="0.35">
      <c r="A6" s="1" t="s">
        <v>52</v>
      </c>
      <c r="B6" s="1" t="s">
        <v>54</v>
      </c>
      <c r="C6" s="2" t="s">
        <v>56</v>
      </c>
      <c r="D6" t="s">
        <v>12</v>
      </c>
    </row>
    <row r="7" spans="1:4" x14ac:dyDescent="0.35">
      <c r="A7" s="1" t="s">
        <v>53</v>
      </c>
      <c r="B7" s="1" t="s">
        <v>55</v>
      </c>
      <c r="C7" s="2" t="s">
        <v>57</v>
      </c>
      <c r="D7" t="s">
        <v>12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topLeftCell="B1" workbookViewId="0">
      <selection activeCell="G3" sqref="G3"/>
    </sheetView>
  </sheetViews>
  <sheetFormatPr baseColWidth="10" defaultRowHeight="14.5" x14ac:dyDescent="0.35"/>
  <cols>
    <col min="2" max="2" width="32.7265625" style="3" customWidth="1"/>
    <col min="3" max="3" width="16.453125" style="4" customWidth="1"/>
    <col min="4" max="4" width="23.36328125" style="3" customWidth="1"/>
    <col min="5" max="5" width="10.90625" style="4"/>
    <col min="6" max="6" width="23.81640625" style="3" customWidth="1"/>
    <col min="7" max="7" width="19.26953125" style="3" customWidth="1"/>
    <col min="8" max="8" width="22.7265625" style="3" customWidth="1"/>
  </cols>
  <sheetData>
    <row r="1" spans="1:9" x14ac:dyDescent="0.35">
      <c r="A1" t="s">
        <v>14</v>
      </c>
      <c r="B1" s="3" t="s">
        <v>15</v>
      </c>
      <c r="C1" s="4" t="s">
        <v>16</v>
      </c>
      <c r="D1" s="3" t="s">
        <v>19</v>
      </c>
      <c r="E1" s="4" t="s">
        <v>17</v>
      </c>
      <c r="F1" s="3" t="s">
        <v>18</v>
      </c>
      <c r="G1" s="3" t="s">
        <v>20</v>
      </c>
      <c r="H1" s="3" t="s">
        <v>21</v>
      </c>
      <c r="I1" s="3" t="s">
        <v>45</v>
      </c>
    </row>
    <row r="2" spans="1:9" ht="101.5" x14ac:dyDescent="0.35">
      <c r="A2">
        <v>1</v>
      </c>
      <c r="B2" s="3" t="s">
        <v>22</v>
      </c>
      <c r="C2" s="4" t="str">
        <f>COUNTIF(A:A,A2)&amp;IF(COUNTIF(A:A,A2)=1," practicien"," practiciens")</f>
        <v>1 practicien</v>
      </c>
      <c r="D2" s="3" t="s">
        <v>24</v>
      </c>
      <c r="E2" s="4" t="str">
        <f>A2&amp;"-"&amp;COUNTIF($A$2:A2,A2)</f>
        <v>1-1</v>
      </c>
      <c r="F2" s="3" t="s">
        <v>26</v>
      </c>
      <c r="G2" s="5" t="s">
        <v>59</v>
      </c>
      <c r="H2" s="3" t="s">
        <v>48</v>
      </c>
      <c r="I2" s="6" t="s">
        <v>46</v>
      </c>
    </row>
    <row r="3" spans="1:9" x14ac:dyDescent="0.35">
      <c r="A3">
        <v>2</v>
      </c>
      <c r="B3" s="3" t="s">
        <v>23</v>
      </c>
      <c r="C3" s="4" t="str">
        <f t="shared" ref="C3:C14" si="0">COUNTIF(A:A,A3)&amp;IF(COUNTIF(A:A,A3)=1," practicien"," practiciens")</f>
        <v>2 practiciens</v>
      </c>
      <c r="D3" s="3" t="s">
        <v>25</v>
      </c>
      <c r="E3" s="4" t="str">
        <f>A3&amp;"-"&amp;COUNTIF($A$2:A3,A3)</f>
        <v>2-1</v>
      </c>
      <c r="F3" s="3" t="s">
        <v>27</v>
      </c>
    </row>
    <row r="4" spans="1:9" x14ac:dyDescent="0.35">
      <c r="A4">
        <v>2</v>
      </c>
      <c r="B4" s="3" t="s">
        <v>23</v>
      </c>
      <c r="C4" s="4" t="str">
        <f t="shared" si="0"/>
        <v>2 practiciens</v>
      </c>
      <c r="D4" s="3" t="s">
        <v>25</v>
      </c>
      <c r="E4" s="4" t="str">
        <f>A4&amp;"-"&amp;COUNTIF($A$2:A4,A4)</f>
        <v>2-2</v>
      </c>
      <c r="F4" s="3" t="s">
        <v>28</v>
      </c>
    </row>
    <row r="5" spans="1:9" x14ac:dyDescent="0.35">
      <c r="A5">
        <v>3</v>
      </c>
      <c r="B5" s="3" t="s">
        <v>29</v>
      </c>
      <c r="C5" s="4" t="str">
        <f t="shared" si="0"/>
        <v>1 practicien</v>
      </c>
      <c r="D5" s="3" t="s">
        <v>33</v>
      </c>
      <c r="E5" s="4" t="str">
        <f>A5&amp;"-"&amp;COUNTIF($A$2:A5,A5)</f>
        <v>3-1</v>
      </c>
      <c r="F5" s="3" t="s">
        <v>39</v>
      </c>
    </row>
    <row r="6" spans="1:9" x14ac:dyDescent="0.35">
      <c r="A6">
        <v>4</v>
      </c>
      <c r="B6" s="3" t="s">
        <v>47</v>
      </c>
      <c r="C6" s="4" t="str">
        <f t="shared" si="0"/>
        <v>1 practicien</v>
      </c>
      <c r="D6" s="3" t="s">
        <v>34</v>
      </c>
      <c r="E6" s="4" t="str">
        <f>A6&amp;"-"&amp;COUNTIF($A$2:A6,A6)</f>
        <v>4-1</v>
      </c>
      <c r="F6" s="3" t="s">
        <v>38</v>
      </c>
    </row>
    <row r="7" spans="1:9" x14ac:dyDescent="0.35">
      <c r="A7">
        <v>5</v>
      </c>
      <c r="B7" s="3" t="s">
        <v>30</v>
      </c>
      <c r="C7" s="4" t="str">
        <f t="shared" si="0"/>
        <v>6 practiciens</v>
      </c>
      <c r="D7" s="3" t="s">
        <v>35</v>
      </c>
      <c r="E7" s="4" t="str">
        <f>A7&amp;"-"&amp;COUNTIF($A$2:A7,A7)</f>
        <v>5-1</v>
      </c>
      <c r="F7" s="3" t="s">
        <v>39</v>
      </c>
    </row>
    <row r="8" spans="1:9" x14ac:dyDescent="0.35">
      <c r="A8">
        <v>5</v>
      </c>
      <c r="B8" s="3" t="s">
        <v>30</v>
      </c>
      <c r="C8" s="4" t="str">
        <f t="shared" si="0"/>
        <v>6 practiciens</v>
      </c>
      <c r="D8" s="3" t="s">
        <v>35</v>
      </c>
      <c r="E8" s="4" t="str">
        <f>A8&amp;"-"&amp;COUNTIF($A$2:A8,A8)</f>
        <v>5-2</v>
      </c>
      <c r="F8" s="3" t="s">
        <v>40</v>
      </c>
    </row>
    <row r="9" spans="1:9" x14ac:dyDescent="0.35">
      <c r="A9">
        <v>5</v>
      </c>
      <c r="B9" s="3" t="s">
        <v>30</v>
      </c>
      <c r="C9" s="4" t="str">
        <f t="shared" si="0"/>
        <v>6 practiciens</v>
      </c>
      <c r="D9" s="3" t="s">
        <v>35</v>
      </c>
      <c r="E9" s="4" t="str">
        <f>A9&amp;"-"&amp;COUNTIF($A$2:A9,A9)</f>
        <v>5-3</v>
      </c>
      <c r="F9" s="3" t="s">
        <v>41</v>
      </c>
    </row>
    <row r="10" spans="1:9" x14ac:dyDescent="0.35">
      <c r="A10">
        <v>5</v>
      </c>
      <c r="B10" s="3" t="s">
        <v>30</v>
      </c>
      <c r="C10" s="4" t="str">
        <f t="shared" si="0"/>
        <v>6 practiciens</v>
      </c>
      <c r="D10" s="3" t="s">
        <v>35</v>
      </c>
      <c r="E10" s="4" t="str">
        <f>A10&amp;"-"&amp;COUNTIF($A$2:A10,A10)</f>
        <v>5-4</v>
      </c>
      <c r="F10" s="3" t="s">
        <v>42</v>
      </c>
    </row>
    <row r="11" spans="1:9" x14ac:dyDescent="0.35">
      <c r="A11">
        <v>5</v>
      </c>
      <c r="B11" s="3" t="s">
        <v>30</v>
      </c>
      <c r="C11" s="4" t="str">
        <f t="shared" si="0"/>
        <v>6 practiciens</v>
      </c>
      <c r="D11" s="3" t="s">
        <v>35</v>
      </c>
      <c r="E11" s="4" t="str">
        <f>A11&amp;"-"&amp;COUNTIF($A$2:A11,A11)</f>
        <v>5-5</v>
      </c>
      <c r="F11" s="3" t="s">
        <v>43</v>
      </c>
    </row>
    <row r="12" spans="1:9" x14ac:dyDescent="0.35">
      <c r="A12">
        <v>5</v>
      </c>
      <c r="B12" s="3" t="s">
        <v>30</v>
      </c>
      <c r="C12" s="4" t="str">
        <f t="shared" si="0"/>
        <v>6 practiciens</v>
      </c>
      <c r="D12" s="3" t="s">
        <v>35</v>
      </c>
      <c r="E12" s="4" t="str">
        <f>A12&amp;"-"&amp;COUNTIF($A$2:A12,A12)</f>
        <v>5-6</v>
      </c>
      <c r="F12" s="3" t="s">
        <v>44</v>
      </c>
    </row>
    <row r="13" spans="1:9" x14ac:dyDescent="0.35">
      <c r="A13">
        <v>6</v>
      </c>
      <c r="B13" s="3" t="s">
        <v>31</v>
      </c>
      <c r="C13" s="4" t="str">
        <f t="shared" si="0"/>
        <v>1 practicien</v>
      </c>
      <c r="D13" s="3" t="s">
        <v>36</v>
      </c>
      <c r="E13" s="4" t="str">
        <f>A13&amp;"-"&amp;COUNTIF($A$2:A13,A13)</f>
        <v>6-1</v>
      </c>
      <c r="F13" s="3" t="s">
        <v>39</v>
      </c>
    </row>
    <row r="14" spans="1:9" x14ac:dyDescent="0.35">
      <c r="A14">
        <v>7</v>
      </c>
      <c r="B14" s="3" t="s">
        <v>32</v>
      </c>
      <c r="C14" s="4" t="str">
        <f t="shared" si="0"/>
        <v>1 practicien</v>
      </c>
      <c r="D14" s="3" t="s">
        <v>37</v>
      </c>
      <c r="E14" s="4" t="str">
        <f>A14&amp;"-"&amp;COUNTIF($A$2:A14,A14)</f>
        <v>7-1</v>
      </c>
      <c r="F14" s="3" t="s">
        <v>39</v>
      </c>
    </row>
  </sheetData>
  <hyperlinks>
    <hyperlink ref="I2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tabSelected="1" workbookViewId="0">
      <selection activeCell="B3" sqref="B3"/>
    </sheetView>
  </sheetViews>
  <sheetFormatPr baseColWidth="10" defaultRowHeight="14.5" x14ac:dyDescent="0.35"/>
  <cols>
    <col min="1" max="1" width="17" customWidth="1"/>
    <col min="2" max="2" width="74.1796875" customWidth="1"/>
    <col min="3" max="3" width="72.7265625" customWidth="1"/>
  </cols>
  <sheetData>
    <row r="1" spans="1:3" x14ac:dyDescent="0.35">
      <c r="A1" t="s">
        <v>1</v>
      </c>
      <c r="B1" t="s">
        <v>60</v>
      </c>
      <c r="C1" t="s">
        <v>61</v>
      </c>
    </row>
    <row r="2" spans="1:3" ht="174" x14ac:dyDescent="0.35">
      <c r="A2" t="s">
        <v>62</v>
      </c>
      <c r="B2" s="1" t="s">
        <v>64</v>
      </c>
      <c r="C2" s="1" t="s">
        <v>63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pdf</vt:lpstr>
      <vt:lpstr>team</vt:lpstr>
      <vt:lpstr>about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Lamia</dc:creator>
  <cp:lastModifiedBy>Lamia</cp:lastModifiedBy>
  <dcterms:created xsi:type="dcterms:W3CDTF">2026-01-29T10:36:35Z</dcterms:created>
  <dcterms:modified xsi:type="dcterms:W3CDTF">2026-02-04T09:13:06Z</dcterms:modified>
</cp:coreProperties>
</file>